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n91\Downloads\DataTeach\New\"/>
    </mc:Choice>
  </mc:AlternateContent>
  <xr:revisionPtr revIDLastSave="0" documentId="8_{8566879E-68B8-4FEA-A671-FC448C6C10EC}" xr6:coauthVersionLast="47" xr6:coauthVersionMax="47" xr10:uidLastSave="{00000000-0000-0000-0000-000000000000}"/>
  <bookViews>
    <workbookView xWindow="-108" yWindow="-108" windowWidth="23256" windowHeight="13176" activeTab="4" xr2:uid="{00000000-000D-0000-FFFF-FFFF00000000}"/>
  </bookViews>
  <sheets>
    <sheet name="Step-1" sheetId="1" r:id="rId1"/>
    <sheet name="Step 2" sheetId="3" r:id="rId2"/>
    <sheet name="Step-3" sheetId="4" r:id="rId3"/>
    <sheet name="Step-4 " sheetId="5" r:id="rId4"/>
    <sheet name="Step-5" sheetId="6" r:id="rId5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1" l="1"/>
  <c r="B15" i="1"/>
  <c r="B33" i="6"/>
  <c r="C33" i="6" s="1"/>
  <c r="B32" i="6"/>
  <c r="C32" i="6" s="1"/>
  <c r="B31" i="6"/>
  <c r="C31" i="6" s="1"/>
  <c r="B30" i="6"/>
  <c r="C30" i="6" s="1"/>
  <c r="B29" i="6"/>
  <c r="C29" i="6" s="1"/>
  <c r="B28" i="6"/>
  <c r="C28" i="6" s="1"/>
  <c r="B27" i="6"/>
  <c r="C27" i="6" s="1"/>
  <c r="B26" i="6"/>
  <c r="C26" i="6" s="1"/>
  <c r="B25" i="6"/>
  <c r="C25" i="6" s="1"/>
  <c r="B24" i="6"/>
  <c r="C24" i="6" s="1"/>
  <c r="B23" i="6"/>
  <c r="C23" i="6" s="1"/>
  <c r="B15" i="6"/>
  <c r="B14" i="6"/>
  <c r="B33" i="5"/>
  <c r="C33" i="5" s="1"/>
  <c r="B32" i="5"/>
  <c r="C32" i="5" s="1"/>
  <c r="B31" i="5"/>
  <c r="C31" i="5" s="1"/>
  <c r="B30" i="5"/>
  <c r="C30" i="5" s="1"/>
  <c r="B29" i="5"/>
  <c r="C29" i="5" s="1"/>
  <c r="B28" i="5"/>
  <c r="C28" i="5" s="1"/>
  <c r="B27" i="5"/>
  <c r="C27" i="5" s="1"/>
  <c r="B26" i="5"/>
  <c r="C26" i="5" s="1"/>
  <c r="B25" i="5"/>
  <c r="C25" i="5" s="1"/>
  <c r="B24" i="5"/>
  <c r="C24" i="5" s="1"/>
  <c r="B23" i="5"/>
  <c r="C23" i="5" s="1"/>
  <c r="B15" i="5"/>
  <c r="B14" i="5"/>
  <c r="B33" i="4"/>
  <c r="C33" i="4" s="1"/>
  <c r="B32" i="4"/>
  <c r="C32" i="4" s="1"/>
  <c r="B31" i="4"/>
  <c r="C31" i="4" s="1"/>
  <c r="B30" i="4"/>
  <c r="C30" i="4" s="1"/>
  <c r="B29" i="4"/>
  <c r="C29" i="4" s="1"/>
  <c r="B28" i="4"/>
  <c r="C28" i="4" s="1"/>
  <c r="B27" i="4"/>
  <c r="C27" i="4" s="1"/>
  <c r="B26" i="4"/>
  <c r="C26" i="4" s="1"/>
  <c r="B25" i="4"/>
  <c r="C25" i="4" s="1"/>
  <c r="B24" i="4"/>
  <c r="C24" i="4" s="1"/>
  <c r="B23" i="4"/>
  <c r="C23" i="4" s="1"/>
  <c r="B15" i="4"/>
  <c r="B14" i="4"/>
  <c r="B33" i="3"/>
  <c r="C33" i="3" s="1"/>
  <c r="B32" i="3"/>
  <c r="C32" i="3" s="1"/>
  <c r="B31" i="3"/>
  <c r="C31" i="3" s="1"/>
  <c r="B30" i="3"/>
  <c r="C30" i="3" s="1"/>
  <c r="B29" i="3"/>
  <c r="C29" i="3" s="1"/>
  <c r="C28" i="3"/>
  <c r="B28" i="3"/>
  <c r="B27" i="3"/>
  <c r="C27" i="3" s="1"/>
  <c r="B26" i="3"/>
  <c r="C26" i="3" s="1"/>
  <c r="B25" i="3"/>
  <c r="C25" i="3" s="1"/>
  <c r="B24" i="3"/>
  <c r="C24" i="3" s="1"/>
  <c r="B23" i="3"/>
  <c r="C23" i="3" s="1"/>
  <c r="B15" i="3"/>
  <c r="B14" i="3"/>
  <c r="B24" i="1"/>
  <c r="C24" i="1" s="1"/>
  <c r="B25" i="1"/>
  <c r="C25" i="1" s="1"/>
  <c r="B26" i="1"/>
  <c r="C26" i="1" s="1"/>
  <c r="B27" i="1"/>
  <c r="C27" i="1" s="1"/>
  <c r="B28" i="1"/>
  <c r="C28" i="1" s="1"/>
  <c r="B29" i="1"/>
  <c r="C29" i="1" s="1"/>
  <c r="B30" i="1"/>
  <c r="C30" i="1" s="1"/>
  <c r="B31" i="1"/>
  <c r="C31" i="1" s="1"/>
  <c r="B32" i="1"/>
  <c r="C32" i="1" s="1"/>
  <c r="B33" i="1"/>
  <c r="C33" i="1" s="1"/>
  <c r="B23" i="1"/>
  <c r="C23" i="1" s="1"/>
  <c r="B16" i="1" l="1"/>
  <c r="B17" i="1" s="1"/>
  <c r="B18" i="1" s="1"/>
  <c r="B16" i="4"/>
  <c r="B17" i="4" s="1"/>
  <c r="B18" i="4" s="1"/>
  <c r="B16" i="3"/>
  <c r="B17" i="3" s="1"/>
  <c r="B18" i="3" s="1"/>
  <c r="B16" i="6"/>
  <c r="B17" i="6" s="1"/>
  <c r="B18" i="6" s="1"/>
  <c r="B16" i="5"/>
  <c r="B17" i="5" s="1"/>
  <c r="B18" i="5" s="1"/>
</calcChain>
</file>

<file path=xl/sharedStrings.xml><?xml version="1.0" encoding="utf-8"?>
<sst xmlns="http://schemas.openxmlformats.org/spreadsheetml/2006/main" count="100" uniqueCount="28">
  <si>
    <t>Selling Price (SP)</t>
  </si>
  <si>
    <t>COGS</t>
  </si>
  <si>
    <t>Amazon Fee %</t>
  </si>
  <si>
    <t>CAC (variable)</t>
  </si>
  <si>
    <t>Units Sold</t>
  </si>
  <si>
    <t>Fixed Costs</t>
  </si>
  <si>
    <t>Interest</t>
  </si>
  <si>
    <t>Tax Rate</t>
  </si>
  <si>
    <t>Values</t>
  </si>
  <si>
    <t>Gross Margin per Unit</t>
  </si>
  <si>
    <t>Amazon Fee per Unit</t>
  </si>
  <si>
    <t>Profit Before Tax (PBT)</t>
  </si>
  <si>
    <t>Profit After Tax (PAT)</t>
  </si>
  <si>
    <t>Input Section</t>
  </si>
  <si>
    <t>CAC Test</t>
  </si>
  <si>
    <t>Net Margin per Unit</t>
  </si>
  <si>
    <t>PBT</t>
  </si>
  <si>
    <t>PAT</t>
  </si>
  <si>
    <t>This sheet explores the default scenario using standard SP, COGS, Units Sold, Fixed Costs, Interest, Tax, and CAC.</t>
  </si>
  <si>
    <t>Profitability Analysis – Step 2: Increased CAC</t>
  </si>
  <si>
    <t>This sheet shows the impact on profit when Customer Acquisition Cost increases.</t>
  </si>
  <si>
    <t>Profitability Analysis – Step 3: Reduced Selling Price</t>
  </si>
  <si>
    <t>This sheet shows how lowering the selling price affects margins and profitability.</t>
  </si>
  <si>
    <t>Profitability Analysis – Step 1: Base Case</t>
  </si>
  <si>
    <t>Profitability Analysis – Step 4: Increased Units Sold</t>
  </si>
  <si>
    <t xml:space="preserve">           This sheet explores the effect of selling higher units on net profit and break-even CAC.</t>
  </si>
  <si>
    <t xml:space="preserve">                  This sheet explores the default scenario using standard SP, COGS, Units Sold, Fixed Costs, Interest, Tax, and CAC.</t>
  </si>
  <si>
    <t xml:space="preserve">                 Profitability Analysis – Step 5: Increased Tax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</si>
</sst>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4"/>
      <color theme="3"/>
      <name val="Calibri"/>
      <family val="2"/>
      <scheme val="minor"/>
    </font>
    <font>
      <b/>
      <sz val="22"/>
      <color theme="3"/>
      <name val="Calibri"/>
      <family val="2"/>
      <scheme val="minor"/>
    </font>
    <font>
      <i/>
      <sz val="14"/>
      <color theme="1"/>
      <name val="Times New Roman"/>
      <family val="1"/>
    </font>
    <font>
      <b/>
      <sz val="22"/>
      <color theme="3"/>
      <name val="Times New Roman"/>
      <family val="1"/>
    </font>
    <font>
      <sz val="14"/>
      <color theme="3"/>
      <name val="Calibri"/>
      <family val="2"/>
      <scheme val="minor"/>
    </font>
    <font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3">
    <xf numFmtId="0" fontId="0" fillId="0" borderId="0"/>
    <xf numFmtId="0" fontId="2" fillId="0" borderId="1" applyNumberFormat="0" applyFill="0" applyAlignment="0" applyProtection="0"/>
    <xf numFmtId="0" fontId="3" fillId="0" borderId="0" applyNumberFormat="0" applyFill="0" applyBorder="0" applyAlignment="0" applyProtection="0"/>
  </cellStyleXfs>
  <cellXfs count="1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5" borderId="0" xfId="0" applyFont="1" applyFill="1"/>
    <xf numFmtId="0" fontId="7" fillId="0" borderId="1" xfId="1" applyFont="1" applyAlignment="1">
      <alignment horizontal="center"/>
    </xf>
    <xf numFmtId="0" fontId="5" fillId="0" borderId="1" xfId="1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2" applyFont="1" applyAlignment="1">
      <alignment horizontal="center"/>
    </xf>
    <xf numFmtId="0" fontId="4" fillId="0" borderId="0" xfId="2" applyFont="1" applyAlignment="1">
      <alignment horizontal="center"/>
    </xf>
    <xf numFmtId="0" fontId="8" fillId="0" borderId="0" xfId="2" applyFont="1" applyAlignment="1">
      <alignment horizontal="center"/>
    </xf>
    <xf numFmtId="0" fontId="7" fillId="0" borderId="1" xfId="1" applyFont="1"/>
    <xf numFmtId="0" fontId="5" fillId="0" borderId="1" xfId="1" applyFont="1"/>
    <xf numFmtId="0" fontId="9" fillId="0" borderId="0" xfId="0" applyFont="1" applyAlignment="1">
      <alignment horizontal="center"/>
    </xf>
  </cellXfs>
  <cellStyles count="3">
    <cellStyle name="Heading 1" xfId="1" builtinId="16"/>
    <cellStyle name="Heading 4" xfId="2" builtinId="19"/>
    <cellStyle name="Normal" xfId="0" builtinId="0"/>
  </cellStyles>
  <dxfs count="1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Profit vs CAC (Base Case, 5,000 units, SP $30)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'Step-1'!$A$22</c:f>
              <c:strCache>
                <c:ptCount val="1"/>
                <c:pt idx="0">
                  <c:v>CAC Test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('Step-1'!$A$23,'Step-1'!$A$24,'Step-1'!$A$25,'Step-1'!$A$26,'Step-1'!$A$27,'Step-1'!$A$28,'Step-1'!$A$29,'Step-1'!$A$30,'Step-1'!$A$31,'Step-1'!$A$32,'Step-1'!$A$33)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21-4046-BFC7-161EEDA633C5}"/>
            </c:ext>
          </c:extLst>
        </c:ser>
        <c:ser>
          <c:idx val="1"/>
          <c:order val="1"/>
          <c:tx>
            <c:strRef>
              <c:f>'Step-1'!$C$22</c:f>
              <c:strCache>
                <c:ptCount val="1"/>
                <c:pt idx="0">
                  <c:v>PAT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('Step-1'!$C$23,'Step-1'!$C$24,'Step-1'!$C$25,'Step-1'!$C$26,'Step-1'!$C$27,'Step-1'!$C$28,'Step-1'!$C$29,'Step-1'!$C$30,'Step-1'!$C$31,'Step-1'!$C$32,'Step-1'!$C$33)</c:f>
              <c:numCache>
                <c:formatCode>General</c:formatCode>
                <c:ptCount val="11"/>
                <c:pt idx="0">
                  <c:v>32800</c:v>
                </c:pt>
                <c:pt idx="1">
                  <c:v>28800</c:v>
                </c:pt>
                <c:pt idx="2">
                  <c:v>24800</c:v>
                </c:pt>
                <c:pt idx="3">
                  <c:v>20800</c:v>
                </c:pt>
                <c:pt idx="4">
                  <c:v>16800</c:v>
                </c:pt>
                <c:pt idx="5">
                  <c:v>12800</c:v>
                </c:pt>
                <c:pt idx="6">
                  <c:v>8800</c:v>
                </c:pt>
                <c:pt idx="7">
                  <c:v>4800</c:v>
                </c:pt>
                <c:pt idx="8">
                  <c:v>800</c:v>
                </c:pt>
                <c:pt idx="9">
                  <c:v>-3200</c:v>
                </c:pt>
                <c:pt idx="10">
                  <c:v>-7200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21-4046-BFC7-161EEDA633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6212319"/>
        <c:axId val="636213279"/>
      </c:lineChart>
      <c:catAx>
        <c:axId val="63621231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213279"/>
        <c:crosses val="autoZero"/>
        <c:auto val="1"/>
        <c:lblAlgn val="ctr"/>
        <c:lblOffset val="100"/>
        <c:noMultiLvlLbl val="0"/>
      </c:catAx>
      <c:valAx>
        <c:axId val="636213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212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Profit vs CAC (4,000 units, SP $30)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'Step 2'!$A$22</c:f>
              <c:strCache>
                <c:ptCount val="1"/>
                <c:pt idx="0">
                  <c:v>CAC Test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('Step 2'!$A$23,'Step 2'!$A$24,'Step 2'!$A$25,'Step 2'!$A$26,'Step 2'!$A$27,'Step 2'!$A$28,'Step 2'!$A$29,'Step 2'!$A$30,'Step 2'!$A$31,'Step 2'!$A$32,'Step 2'!$A$33)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7E-4712-A957-E81E12E454CE}"/>
            </c:ext>
          </c:extLst>
        </c:ser>
        <c:ser>
          <c:idx val="1"/>
          <c:order val="1"/>
          <c:tx>
            <c:strRef>
              <c:f>'Step 2'!$C$22</c:f>
              <c:strCache>
                <c:ptCount val="1"/>
                <c:pt idx="0">
                  <c:v>CAC Test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('Step 2'!$C$23,'Step 2'!$C$24,'Step 2'!$C$25,'Step 2'!$C$26,'Step 2'!$C$27,'Step 2'!$C$28,'Step 2'!$C$29,'Step 2'!$C$30,'Step 2'!$C$31,'Step 2'!$C$32,'Step 2'!$C$33)</c:f>
              <c:numCache>
                <c:formatCode>General</c:formatCode>
                <c:ptCount val="11"/>
                <c:pt idx="0">
                  <c:v>24400</c:v>
                </c:pt>
                <c:pt idx="1">
                  <c:v>21200</c:v>
                </c:pt>
                <c:pt idx="2">
                  <c:v>18000</c:v>
                </c:pt>
                <c:pt idx="3">
                  <c:v>14800</c:v>
                </c:pt>
                <c:pt idx="4">
                  <c:v>11600</c:v>
                </c:pt>
                <c:pt idx="5">
                  <c:v>8400</c:v>
                </c:pt>
                <c:pt idx="6">
                  <c:v>5200</c:v>
                </c:pt>
                <c:pt idx="7">
                  <c:v>2000</c:v>
                </c:pt>
                <c:pt idx="8">
                  <c:v>-1200</c:v>
                </c:pt>
                <c:pt idx="9">
                  <c:v>-4400</c:v>
                </c:pt>
                <c:pt idx="10">
                  <c:v>-7600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D7E-4712-A957-E81E12E454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4644975"/>
        <c:axId val="684638255"/>
      </c:lineChart>
      <c:catAx>
        <c:axId val="68464497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4638255"/>
        <c:crosses val="autoZero"/>
        <c:auto val="1"/>
        <c:lblAlgn val="ctr"/>
        <c:lblOffset val="100"/>
        <c:noMultiLvlLbl val="0"/>
      </c:catAx>
      <c:valAx>
        <c:axId val="684638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4644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Profit vs CAC (Fixed Costs = $15,000)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'Step-3'!$A$22</c:f>
              <c:strCache>
                <c:ptCount val="1"/>
                <c:pt idx="0">
                  <c:v>CAC Test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('Step-3'!$A$23,'Step-3'!$A$24,'Step-3'!$A$25,'Step-3'!$A$26,'Step-3'!$A$27,'Step-3'!$A$28,'Step-3'!$A$29,'Step-3'!$A$30,'Step-3'!$A$31,'Step-3'!$A$32,'Step-3'!$A$33)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17-407F-854D-5DE1067816F1}"/>
            </c:ext>
          </c:extLst>
        </c:ser>
        <c:ser>
          <c:idx val="1"/>
          <c:order val="1"/>
          <c:tx>
            <c:strRef>
              <c:f>'Step-3'!$C$22</c:f>
              <c:strCache>
                <c:ptCount val="1"/>
                <c:pt idx="0">
                  <c:v>PAT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('Step-3'!$C$23,'Step-3'!$C$24,'Step-3'!$C$25,'Step-3'!$C$26,'Step-3'!$C$27,'Step-3'!$C$28,'Step-3'!$C$29,'Step-3'!$C$30,'Step-3'!$C$31,'Step-3'!$C$32,'Step-3'!$C$33)</c:f>
              <c:numCache>
                <c:formatCode>General</c:formatCode>
                <c:ptCount val="11"/>
                <c:pt idx="0">
                  <c:v>28800</c:v>
                </c:pt>
                <c:pt idx="1">
                  <c:v>24800</c:v>
                </c:pt>
                <c:pt idx="2">
                  <c:v>20800</c:v>
                </c:pt>
                <c:pt idx="3">
                  <c:v>16800</c:v>
                </c:pt>
                <c:pt idx="4">
                  <c:v>12800</c:v>
                </c:pt>
                <c:pt idx="5">
                  <c:v>8800</c:v>
                </c:pt>
                <c:pt idx="6">
                  <c:v>4800</c:v>
                </c:pt>
                <c:pt idx="7">
                  <c:v>800</c:v>
                </c:pt>
                <c:pt idx="8">
                  <c:v>-3200</c:v>
                </c:pt>
                <c:pt idx="9">
                  <c:v>-7200</c:v>
                </c:pt>
                <c:pt idx="10">
                  <c:v>-11200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F17-407F-854D-5DE1067816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8294543"/>
        <c:axId val="698295503"/>
      </c:lineChart>
      <c:catAx>
        <c:axId val="69829454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8295503"/>
        <c:crosses val="autoZero"/>
        <c:auto val="1"/>
        <c:lblAlgn val="ctr"/>
        <c:lblOffset val="100"/>
        <c:noMultiLvlLbl val="0"/>
      </c:catAx>
      <c:valAx>
        <c:axId val="698295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8294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Profit vs CAC (SP $35, 5,000 units)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'Step-4 '!$A$22</c:f>
              <c:strCache>
                <c:ptCount val="1"/>
                <c:pt idx="0">
                  <c:v>CAC Test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('Step-4 '!$A$23,'Step-4 '!$A$24,'Step-4 '!$A$25,'Step-4 '!$A$26,'Step-4 '!$A$27,'Step-4 '!$A$28,'Step-4 '!$A$29,'Step-4 '!$A$30,'Step-4 '!$A$31,'Step-4 '!$A$32,'Step-4 '!$A$33)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17-4D8C-A11F-248429445C04}"/>
            </c:ext>
          </c:extLst>
        </c:ser>
        <c:ser>
          <c:idx val="1"/>
          <c:order val="1"/>
          <c:tx>
            <c:strRef>
              <c:f>'Step-4 '!$C$22</c:f>
              <c:strCache>
                <c:ptCount val="1"/>
                <c:pt idx="0">
                  <c:v>PAT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('Step-4 '!$C$23,'Step-4 '!$C$24,'Step-4 '!$C$25,'Step-4 '!$C$26,'Step-4 '!$C$27,'Step-4 '!$C$28,'Step-4 '!$C$29,'Step-4 '!$C$30,'Step-4 '!$C$31,'Step-4 '!$C$32,'Step-4 '!$C$33)</c:f>
              <c:numCache>
                <c:formatCode>General</c:formatCode>
                <c:ptCount val="11"/>
                <c:pt idx="0">
                  <c:v>49800</c:v>
                </c:pt>
                <c:pt idx="1">
                  <c:v>45800</c:v>
                </c:pt>
                <c:pt idx="2">
                  <c:v>41800</c:v>
                </c:pt>
                <c:pt idx="3">
                  <c:v>37800</c:v>
                </c:pt>
                <c:pt idx="4">
                  <c:v>33800</c:v>
                </c:pt>
                <c:pt idx="5">
                  <c:v>29800</c:v>
                </c:pt>
                <c:pt idx="6">
                  <c:v>25800</c:v>
                </c:pt>
                <c:pt idx="7">
                  <c:v>21800</c:v>
                </c:pt>
                <c:pt idx="8">
                  <c:v>17800</c:v>
                </c:pt>
                <c:pt idx="9">
                  <c:v>13800</c:v>
                </c:pt>
                <c:pt idx="10">
                  <c:v>9800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17-4D8C-A11F-248429445C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2167023"/>
        <c:axId val="692167503"/>
      </c:lineChart>
      <c:catAx>
        <c:axId val="69216702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2167503"/>
        <c:crosses val="autoZero"/>
        <c:auto val="1"/>
        <c:lblAlgn val="ctr"/>
        <c:lblOffset val="100"/>
        <c:noMultiLvlLbl val="0"/>
      </c:catAx>
      <c:valAx>
        <c:axId val="692167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2167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Profit vs CAC (Tax Rate = 25%)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'Step-5'!$A$22</c:f>
              <c:strCache>
                <c:ptCount val="1"/>
                <c:pt idx="0">
                  <c:v>CAC Test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('Step-5'!$A$23,'Step-5'!$A$24,'Step-5'!$A$25,'Step-5'!$A$26,'Step-5'!$A$27,'Step-5'!$A$28,'Step-5'!$A$29,'Step-5'!$A$30,'Step-5'!$A$31,'Step-5'!$A$32,'Step-5'!$A$33)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D1-48E6-A786-1B91CE8C7CE2}"/>
            </c:ext>
          </c:extLst>
        </c:ser>
        <c:ser>
          <c:idx val="1"/>
          <c:order val="1"/>
          <c:tx>
            <c:strRef>
              <c:f>'Step-5'!$C$22</c:f>
              <c:strCache>
                <c:ptCount val="1"/>
                <c:pt idx="0">
                  <c:v>PAT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('Step-5'!$C$23,'Step-5'!$C$24,'Step-5'!$C$25,'Step-5'!$C$26,'Step-5'!$C$27,'Step-5'!$C$28,'Step-5'!$C$29,'Step-5'!$C$30,'Step-5'!$C$31,'Step-5'!$C$32,'Step-5'!$C$33)</c:f>
              <c:numCache>
                <c:formatCode>General</c:formatCode>
                <c:ptCount val="11"/>
                <c:pt idx="0">
                  <c:v>30750</c:v>
                </c:pt>
                <c:pt idx="1">
                  <c:v>27000</c:v>
                </c:pt>
                <c:pt idx="2">
                  <c:v>23250</c:v>
                </c:pt>
                <c:pt idx="3">
                  <c:v>19500</c:v>
                </c:pt>
                <c:pt idx="4">
                  <c:v>15750</c:v>
                </c:pt>
                <c:pt idx="5">
                  <c:v>12000</c:v>
                </c:pt>
                <c:pt idx="6">
                  <c:v>8250</c:v>
                </c:pt>
                <c:pt idx="7">
                  <c:v>4500</c:v>
                </c:pt>
                <c:pt idx="8">
                  <c:v>750</c:v>
                </c:pt>
                <c:pt idx="9">
                  <c:v>-3000</c:v>
                </c:pt>
                <c:pt idx="10">
                  <c:v>-6750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D1-48E6-A786-1B91CE8C7C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009279"/>
        <c:axId val="129012159"/>
      </c:lineChart>
      <c:catAx>
        <c:axId val="12900927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012159"/>
        <c:crosses val="autoZero"/>
        <c:auto val="1"/>
        <c:lblAlgn val="ctr"/>
        <c:lblOffset val="100"/>
        <c:noMultiLvlLbl val="0"/>
      </c:catAx>
      <c:valAx>
        <c:axId val="129012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009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</xdr:colOff>
      <xdr:row>6</xdr:row>
      <xdr:rowOff>152400</xdr:rowOff>
    </xdr:from>
    <xdr:to>
      <xdr:col>14</xdr:col>
      <xdr:colOff>7620</xdr:colOff>
      <xdr:row>24</xdr:row>
      <xdr:rowOff>45720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197C7B3-BE51-3BC8-2575-5AC34497FB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967740</xdr:colOff>
      <xdr:row>6</xdr:row>
      <xdr:rowOff>137160</xdr:rowOff>
    </xdr:from>
    <xdr:to>
      <xdr:col>9</xdr:col>
      <xdr:colOff>533400</xdr:colOff>
      <xdr:row>22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38FDEA-F141-9CCE-48F2-2CAC42F120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655320</xdr:colOff>
      <xdr:row>7</xdr:row>
      <xdr:rowOff>38100</xdr:rowOff>
    </xdr:from>
    <xdr:to>
      <xdr:col>12</xdr:col>
      <xdr:colOff>502920</xdr:colOff>
      <xdr:row>23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2F2D182-D101-1AB1-371B-DDB91002DC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655320</xdr:colOff>
      <xdr:row>4</xdr:row>
      <xdr:rowOff>15240</xdr:rowOff>
    </xdr:from>
    <xdr:to>
      <xdr:col>12</xdr:col>
      <xdr:colOff>457200</xdr:colOff>
      <xdr:row>20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48A890-48E2-5F67-4BAE-3B94352C55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754380</xdr:colOff>
      <xdr:row>5</xdr:row>
      <xdr:rowOff>160020</xdr:rowOff>
    </xdr:from>
    <xdr:to>
      <xdr:col>14</xdr:col>
      <xdr:colOff>175260</xdr:colOff>
      <xdr:row>23</xdr:row>
      <xdr:rowOff>45720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7624D35-E1E5-A995-A969-ADA24E38E4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3"/>
  <sheetViews>
    <sheetView topLeftCell="A18" workbookViewId="0">
      <selection activeCell="E14" sqref="E14"/>
    </sheetView>
  </sheetViews>
  <sheetFormatPr defaultRowHeight="14.4" x14ac:dyDescent="0.3"/>
  <cols>
    <col min="1" max="1" width="23.77734375" customWidth="1"/>
    <col min="2" max="2" width="23.109375" customWidth="1"/>
    <col min="3" max="3" width="16.21875" customWidth="1"/>
    <col min="4" max="4" width="12.88671875" customWidth="1"/>
    <col min="5" max="5" width="13" customWidth="1"/>
    <col min="6" max="6" width="14.109375" customWidth="1"/>
    <col min="7" max="7" width="13.77734375" customWidth="1"/>
  </cols>
  <sheetData>
    <row r="1" spans="1:12" ht="29.4" thickBot="1" x14ac:dyDescent="0.6">
      <c r="C1" s="5" t="s">
        <v>23</v>
      </c>
      <c r="D1" s="6"/>
      <c r="E1" s="6"/>
      <c r="F1" s="6"/>
      <c r="G1" s="6"/>
      <c r="H1" s="6"/>
      <c r="I1" s="6"/>
      <c r="J1" s="6"/>
      <c r="K1" s="6"/>
    </row>
    <row r="2" spans="1:12" ht="18.600000000000001" thickTop="1" x14ac:dyDescent="0.35">
      <c r="B2" s="7" t="s">
        <v>26</v>
      </c>
      <c r="C2" s="7"/>
      <c r="D2" s="7"/>
      <c r="E2" s="7"/>
      <c r="F2" s="7"/>
      <c r="G2" s="7"/>
      <c r="H2" s="7"/>
      <c r="I2" s="7"/>
      <c r="J2" s="7"/>
      <c r="K2" s="7"/>
      <c r="L2" s="7"/>
    </row>
    <row r="3" spans="1:12" x14ac:dyDescent="0.3">
      <c r="A3" s="4" t="s">
        <v>13</v>
      </c>
      <c r="B3" s="4" t="s">
        <v>8</v>
      </c>
    </row>
    <row r="4" spans="1:12" x14ac:dyDescent="0.3">
      <c r="A4" s="1" t="s">
        <v>0</v>
      </c>
      <c r="B4">
        <v>30</v>
      </c>
    </row>
    <row r="5" spans="1:12" x14ac:dyDescent="0.3">
      <c r="A5" s="1" t="s">
        <v>1</v>
      </c>
      <c r="B5">
        <v>15</v>
      </c>
    </row>
    <row r="6" spans="1:12" x14ac:dyDescent="0.3">
      <c r="A6" s="1" t="s">
        <v>2</v>
      </c>
      <c r="B6">
        <v>0.15</v>
      </c>
    </row>
    <row r="7" spans="1:12" x14ac:dyDescent="0.3">
      <c r="A7" s="1" t="s">
        <v>3</v>
      </c>
      <c r="B7">
        <v>0</v>
      </c>
    </row>
    <row r="8" spans="1:12" x14ac:dyDescent="0.3">
      <c r="A8" s="1" t="s">
        <v>4</v>
      </c>
      <c r="B8">
        <v>5000</v>
      </c>
    </row>
    <row r="9" spans="1:12" x14ac:dyDescent="0.3">
      <c r="A9" s="1" t="s">
        <v>5</v>
      </c>
      <c r="B9">
        <v>10000</v>
      </c>
    </row>
    <row r="10" spans="1:12" x14ac:dyDescent="0.3">
      <c r="A10" s="1" t="s">
        <v>6</v>
      </c>
      <c r="B10">
        <v>1500</v>
      </c>
    </row>
    <row r="11" spans="1:12" x14ac:dyDescent="0.3">
      <c r="A11" s="1" t="s">
        <v>7</v>
      </c>
      <c r="B11">
        <v>0.2</v>
      </c>
    </row>
    <row r="12" spans="1:12" x14ac:dyDescent="0.3">
      <c r="A12" s="3"/>
    </row>
    <row r="13" spans="1:12" x14ac:dyDescent="0.3">
      <c r="A13" s="3"/>
    </row>
    <row r="14" spans="1:12" x14ac:dyDescent="0.3">
      <c r="A14" s="2" t="s">
        <v>9</v>
      </c>
      <c r="B14">
        <f>B4 - B5</f>
        <v>15</v>
      </c>
    </row>
    <row r="15" spans="1:12" x14ac:dyDescent="0.3">
      <c r="A15" s="2" t="s">
        <v>10</v>
      </c>
      <c r="B15">
        <f>B4 * B6</f>
        <v>4.5</v>
      </c>
    </row>
    <row r="16" spans="1:12" x14ac:dyDescent="0.3">
      <c r="A16" s="2" t="s">
        <v>15</v>
      </c>
      <c r="B16">
        <f>B14 - B15 - B7</f>
        <v>10.5</v>
      </c>
    </row>
    <row r="17" spans="1:3" x14ac:dyDescent="0.3">
      <c r="A17" s="2" t="s">
        <v>11</v>
      </c>
      <c r="B17">
        <f>(B16 * B8) - B9 - B10</f>
        <v>41000</v>
      </c>
    </row>
    <row r="18" spans="1:3" x14ac:dyDescent="0.3">
      <c r="A18" s="2" t="s">
        <v>12</v>
      </c>
      <c r="B18">
        <f>B17 * (1 - B11)</f>
        <v>32800</v>
      </c>
    </row>
    <row r="22" spans="1:3" x14ac:dyDescent="0.3">
      <c r="A22" s="4" t="s">
        <v>14</v>
      </c>
      <c r="B22" s="4" t="s">
        <v>16</v>
      </c>
      <c r="C22" s="4" t="s">
        <v>17</v>
      </c>
    </row>
    <row r="23" spans="1:3" x14ac:dyDescent="0.3">
      <c r="A23">
        <v>0</v>
      </c>
      <c r="B23">
        <f>(( $B$4 - $B$5 - ($B$4 * $B$6) - A23 ) * $B$8) - $B$9 - $B$10</f>
        <v>41000</v>
      </c>
      <c r="C23">
        <f>B23 * (1 - $B$11)</f>
        <v>32800</v>
      </c>
    </row>
    <row r="24" spans="1:3" x14ac:dyDescent="0.3">
      <c r="A24">
        <v>1</v>
      </c>
      <c r="B24">
        <f t="shared" ref="B24:B33" si="0">(( $B$4 - $B$5 - ($B$4 * $B$6) - A24 ) * $B$8) - $B$9 - $B$10</f>
        <v>36000</v>
      </c>
      <c r="C24">
        <f t="shared" ref="C24:C33" si="1">B24 * (1 - $B$11)</f>
        <v>28800</v>
      </c>
    </row>
    <row r="25" spans="1:3" x14ac:dyDescent="0.3">
      <c r="A25">
        <v>2</v>
      </c>
      <c r="B25">
        <f t="shared" si="0"/>
        <v>31000</v>
      </c>
      <c r="C25">
        <f t="shared" si="1"/>
        <v>24800</v>
      </c>
    </row>
    <row r="26" spans="1:3" x14ac:dyDescent="0.3">
      <c r="A26">
        <v>3</v>
      </c>
      <c r="B26">
        <f t="shared" si="0"/>
        <v>26000</v>
      </c>
      <c r="C26">
        <f t="shared" si="1"/>
        <v>20800</v>
      </c>
    </row>
    <row r="27" spans="1:3" x14ac:dyDescent="0.3">
      <c r="A27">
        <v>4</v>
      </c>
      <c r="B27">
        <f t="shared" si="0"/>
        <v>21000</v>
      </c>
      <c r="C27">
        <f t="shared" si="1"/>
        <v>16800</v>
      </c>
    </row>
    <row r="28" spans="1:3" x14ac:dyDescent="0.3">
      <c r="A28">
        <v>5</v>
      </c>
      <c r="B28">
        <f t="shared" si="0"/>
        <v>16000</v>
      </c>
      <c r="C28">
        <f t="shared" si="1"/>
        <v>12800</v>
      </c>
    </row>
    <row r="29" spans="1:3" x14ac:dyDescent="0.3">
      <c r="A29">
        <v>6</v>
      </c>
      <c r="B29">
        <f t="shared" si="0"/>
        <v>11000</v>
      </c>
      <c r="C29">
        <f t="shared" si="1"/>
        <v>8800</v>
      </c>
    </row>
    <row r="30" spans="1:3" x14ac:dyDescent="0.3">
      <c r="A30">
        <v>7</v>
      </c>
      <c r="B30">
        <f t="shared" si="0"/>
        <v>6000</v>
      </c>
      <c r="C30">
        <f t="shared" si="1"/>
        <v>4800</v>
      </c>
    </row>
    <row r="31" spans="1:3" x14ac:dyDescent="0.3">
      <c r="A31">
        <v>8</v>
      </c>
      <c r="B31">
        <f t="shared" si="0"/>
        <v>1000</v>
      </c>
      <c r="C31">
        <f t="shared" si="1"/>
        <v>800</v>
      </c>
    </row>
    <row r="32" spans="1:3" x14ac:dyDescent="0.3">
      <c r="A32">
        <v>9</v>
      </c>
      <c r="B32">
        <f t="shared" si="0"/>
        <v>-4000</v>
      </c>
      <c r="C32">
        <f t="shared" si="1"/>
        <v>-3200</v>
      </c>
    </row>
    <row r="33" spans="1:3" x14ac:dyDescent="0.3">
      <c r="A33">
        <v>10</v>
      </c>
      <c r="B33">
        <f t="shared" si="0"/>
        <v>-9000</v>
      </c>
      <c r="C33">
        <f t="shared" si="1"/>
        <v>-7200</v>
      </c>
    </row>
  </sheetData>
  <mergeCells count="2">
    <mergeCell ref="C1:K1"/>
    <mergeCell ref="B2:L2"/>
  </mergeCells>
  <conditionalFormatting sqref="A17:B18">
    <cfRule type="cellIs" dxfId="15" priority="1" operator="lessThan">
      <formula>0</formula>
    </cfRule>
    <cfRule type="cellIs" dxfId="14" priority="2" operator="greaterThan">
      <formula>0</formula>
    </cfRule>
  </conditionalFormatting>
  <conditionalFormatting sqref="B17">
    <cfRule type="cellIs" dxfId="13" priority="5" operator="greaterThan">
      <formula>"if&gt;=0"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1DA36-7310-4928-AFF6-5803D8ADA9C2}">
  <dimension ref="A1:J33"/>
  <sheetViews>
    <sheetView topLeftCell="A5" workbookViewId="0">
      <selection activeCell="D11" sqref="D11"/>
    </sheetView>
  </sheetViews>
  <sheetFormatPr defaultRowHeight="14.4" x14ac:dyDescent="0.3"/>
  <cols>
    <col min="1" max="1" width="23.77734375" customWidth="1"/>
    <col min="2" max="2" width="23.109375" customWidth="1"/>
    <col min="3" max="3" width="16.21875" customWidth="1"/>
    <col min="4" max="4" width="26.109375" customWidth="1"/>
    <col min="5" max="5" width="24.5546875" customWidth="1"/>
    <col min="6" max="6" width="14.109375" customWidth="1"/>
    <col min="7" max="7" width="13.77734375" customWidth="1"/>
    <col min="9" max="9" width="16.44140625" customWidth="1"/>
    <col min="10" max="10" width="19.109375" customWidth="1"/>
  </cols>
  <sheetData>
    <row r="1" spans="1:10" ht="29.4" thickBot="1" x14ac:dyDescent="0.6">
      <c r="D1" s="5" t="s">
        <v>19</v>
      </c>
      <c r="E1" s="6"/>
      <c r="F1" s="6"/>
      <c r="G1" s="6"/>
      <c r="H1" s="6"/>
      <c r="I1" s="6"/>
    </row>
    <row r="2" spans="1:10" ht="18.600000000000001" thickTop="1" x14ac:dyDescent="0.35">
      <c r="C2" s="8" t="s">
        <v>20</v>
      </c>
      <c r="D2" s="9"/>
      <c r="E2" s="9"/>
      <c r="F2" s="9"/>
      <c r="G2" s="9"/>
      <c r="H2" s="9"/>
      <c r="I2" s="9"/>
      <c r="J2" s="9"/>
    </row>
    <row r="3" spans="1:10" x14ac:dyDescent="0.3">
      <c r="A3" s="4" t="s">
        <v>13</v>
      </c>
      <c r="B3" s="4" t="s">
        <v>8</v>
      </c>
    </row>
    <row r="4" spans="1:10" x14ac:dyDescent="0.3">
      <c r="A4" s="1" t="s">
        <v>0</v>
      </c>
      <c r="B4">
        <v>30</v>
      </c>
    </row>
    <row r="5" spans="1:10" x14ac:dyDescent="0.3">
      <c r="A5" s="1" t="s">
        <v>1</v>
      </c>
      <c r="B5">
        <v>15</v>
      </c>
    </row>
    <row r="6" spans="1:10" x14ac:dyDescent="0.3">
      <c r="A6" s="1" t="s">
        <v>2</v>
      </c>
      <c r="B6">
        <v>0.15</v>
      </c>
    </row>
    <row r="7" spans="1:10" x14ac:dyDescent="0.3">
      <c r="A7" s="1" t="s">
        <v>3</v>
      </c>
      <c r="B7">
        <v>0</v>
      </c>
    </row>
    <row r="8" spans="1:10" x14ac:dyDescent="0.3">
      <c r="A8" s="1" t="s">
        <v>4</v>
      </c>
      <c r="B8">
        <v>4000</v>
      </c>
    </row>
    <row r="9" spans="1:10" x14ac:dyDescent="0.3">
      <c r="A9" s="1" t="s">
        <v>5</v>
      </c>
      <c r="B9">
        <v>10000</v>
      </c>
    </row>
    <row r="10" spans="1:10" x14ac:dyDescent="0.3">
      <c r="A10" s="1" t="s">
        <v>6</v>
      </c>
      <c r="B10">
        <v>1500</v>
      </c>
    </row>
    <row r="11" spans="1:10" x14ac:dyDescent="0.3">
      <c r="A11" s="1" t="s">
        <v>7</v>
      </c>
      <c r="B11">
        <v>0.2</v>
      </c>
    </row>
    <row r="14" spans="1:10" x14ac:dyDescent="0.3">
      <c r="A14" s="2" t="s">
        <v>9</v>
      </c>
      <c r="B14">
        <f>B4 - B5</f>
        <v>15</v>
      </c>
    </row>
    <row r="15" spans="1:10" x14ac:dyDescent="0.3">
      <c r="A15" s="2" t="s">
        <v>10</v>
      </c>
      <c r="B15">
        <f>B4 * B6</f>
        <v>4.5</v>
      </c>
    </row>
    <row r="16" spans="1:10" x14ac:dyDescent="0.3">
      <c r="A16" s="2" t="s">
        <v>15</v>
      </c>
      <c r="B16">
        <f>B14 - B15 - B7</f>
        <v>10.5</v>
      </c>
    </row>
    <row r="17" spans="1:3" x14ac:dyDescent="0.3">
      <c r="A17" s="2" t="s">
        <v>11</v>
      </c>
      <c r="B17">
        <f>(B16 * B8) - B9 - B10</f>
        <v>30500</v>
      </c>
    </row>
    <row r="18" spans="1:3" x14ac:dyDescent="0.3">
      <c r="A18" s="2" t="s">
        <v>12</v>
      </c>
      <c r="B18">
        <f>B17 * (1 - B11)</f>
        <v>24400</v>
      </c>
    </row>
    <row r="22" spans="1:3" x14ac:dyDescent="0.3">
      <c r="A22" s="4" t="s">
        <v>14</v>
      </c>
      <c r="B22" s="4" t="s">
        <v>14</v>
      </c>
      <c r="C22" s="4" t="s">
        <v>14</v>
      </c>
    </row>
    <row r="23" spans="1:3" x14ac:dyDescent="0.3">
      <c r="A23">
        <v>0</v>
      </c>
      <c r="B23">
        <f>(( $B$4 - $B$5 - ($B$4 * $B$6) - A23 ) * $B$8) - $B$9 - $B$10</f>
        <v>30500</v>
      </c>
      <c r="C23">
        <f>B23 * (1 - $B$11)</f>
        <v>24400</v>
      </c>
    </row>
    <row r="24" spans="1:3" x14ac:dyDescent="0.3">
      <c r="A24">
        <v>1</v>
      </c>
      <c r="B24">
        <f t="shared" ref="B24:B33" si="0">(( $B$4 - $B$5 - ($B$4 * $B$6) - A24 ) * $B$8) - $B$9 - $B$10</f>
        <v>26500</v>
      </c>
      <c r="C24">
        <f t="shared" ref="C24:C33" si="1">B24 * (1 - $B$11)</f>
        <v>21200</v>
      </c>
    </row>
    <row r="25" spans="1:3" x14ac:dyDescent="0.3">
      <c r="A25">
        <v>2</v>
      </c>
      <c r="B25">
        <f t="shared" si="0"/>
        <v>22500</v>
      </c>
      <c r="C25">
        <f t="shared" si="1"/>
        <v>18000</v>
      </c>
    </row>
    <row r="26" spans="1:3" x14ac:dyDescent="0.3">
      <c r="A26">
        <v>3</v>
      </c>
      <c r="B26">
        <f t="shared" si="0"/>
        <v>18500</v>
      </c>
      <c r="C26">
        <f t="shared" si="1"/>
        <v>14800</v>
      </c>
    </row>
    <row r="27" spans="1:3" x14ac:dyDescent="0.3">
      <c r="A27">
        <v>4</v>
      </c>
      <c r="B27">
        <f t="shared" si="0"/>
        <v>14500</v>
      </c>
      <c r="C27">
        <f t="shared" si="1"/>
        <v>11600</v>
      </c>
    </row>
    <row r="28" spans="1:3" x14ac:dyDescent="0.3">
      <c r="A28">
        <v>5</v>
      </c>
      <c r="B28">
        <f t="shared" si="0"/>
        <v>10500</v>
      </c>
      <c r="C28">
        <f t="shared" si="1"/>
        <v>8400</v>
      </c>
    </row>
    <row r="29" spans="1:3" x14ac:dyDescent="0.3">
      <c r="A29">
        <v>6</v>
      </c>
      <c r="B29">
        <f t="shared" si="0"/>
        <v>6500</v>
      </c>
      <c r="C29">
        <f t="shared" si="1"/>
        <v>5200</v>
      </c>
    </row>
    <row r="30" spans="1:3" x14ac:dyDescent="0.3">
      <c r="A30">
        <v>7</v>
      </c>
      <c r="B30">
        <f t="shared" si="0"/>
        <v>2500</v>
      </c>
      <c r="C30">
        <f t="shared" si="1"/>
        <v>2000</v>
      </c>
    </row>
    <row r="31" spans="1:3" x14ac:dyDescent="0.3">
      <c r="A31">
        <v>8</v>
      </c>
      <c r="B31">
        <f t="shared" si="0"/>
        <v>-1500</v>
      </c>
      <c r="C31">
        <f t="shared" si="1"/>
        <v>-1200</v>
      </c>
    </row>
    <row r="32" spans="1:3" x14ac:dyDescent="0.3">
      <c r="A32">
        <v>9</v>
      </c>
      <c r="B32">
        <f t="shared" si="0"/>
        <v>-5500</v>
      </c>
      <c r="C32">
        <f t="shared" si="1"/>
        <v>-4400</v>
      </c>
    </row>
    <row r="33" spans="1:3" x14ac:dyDescent="0.3">
      <c r="A33">
        <v>10</v>
      </c>
      <c r="B33">
        <f t="shared" si="0"/>
        <v>-9500</v>
      </c>
      <c r="C33">
        <f t="shared" si="1"/>
        <v>-7600</v>
      </c>
    </row>
  </sheetData>
  <mergeCells count="2">
    <mergeCell ref="D1:I1"/>
    <mergeCell ref="C2:J2"/>
  </mergeCells>
  <conditionalFormatting sqref="A17:B18">
    <cfRule type="cellIs" dxfId="12" priority="1" operator="lessThan">
      <formula>0</formula>
    </cfRule>
    <cfRule type="cellIs" dxfId="11" priority="2" operator="greaterThan">
      <formula>0</formula>
    </cfRule>
  </conditionalFormatting>
  <conditionalFormatting sqref="B17">
    <cfRule type="cellIs" dxfId="10" priority="5" operator="greaterThan">
      <formula>"if&gt;=0"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11D2C-F7D3-4D2E-ABC4-33B7D6CD1A9C}">
  <dimension ref="A1:M33"/>
  <sheetViews>
    <sheetView topLeftCell="A6" workbookViewId="0">
      <selection activeCell="E15" sqref="E15"/>
    </sheetView>
  </sheetViews>
  <sheetFormatPr defaultRowHeight="14.4" x14ac:dyDescent="0.3"/>
  <cols>
    <col min="1" max="1" width="23.77734375" customWidth="1"/>
    <col min="2" max="2" width="23.109375" customWidth="1"/>
    <col min="3" max="3" width="14.6640625" customWidth="1"/>
    <col min="4" max="4" width="17.33203125" customWidth="1"/>
    <col min="5" max="5" width="13" customWidth="1"/>
    <col min="6" max="6" width="14.109375" customWidth="1"/>
    <col min="7" max="7" width="13.77734375" customWidth="1"/>
    <col min="11" max="11" width="16" customWidth="1"/>
  </cols>
  <sheetData>
    <row r="1" spans="1:13" ht="29.4" thickBot="1" x14ac:dyDescent="0.6">
      <c r="D1" s="5" t="s">
        <v>21</v>
      </c>
      <c r="E1" s="6"/>
      <c r="F1" s="6"/>
      <c r="G1" s="6"/>
      <c r="H1" s="6"/>
      <c r="I1" s="6"/>
      <c r="J1" s="6"/>
      <c r="K1" s="6"/>
    </row>
    <row r="2" spans="1:13" ht="18.600000000000001" thickTop="1" x14ac:dyDescent="0.35">
      <c r="C2" s="8" t="s">
        <v>22</v>
      </c>
      <c r="D2" s="10"/>
      <c r="E2" s="10"/>
      <c r="F2" s="10"/>
      <c r="G2" s="10"/>
      <c r="H2" s="10"/>
      <c r="I2" s="10"/>
      <c r="J2" s="10"/>
      <c r="K2" s="10"/>
      <c r="L2" s="10"/>
      <c r="M2" s="10"/>
    </row>
    <row r="3" spans="1:13" x14ac:dyDescent="0.3">
      <c r="A3" s="4" t="s">
        <v>13</v>
      </c>
      <c r="B3" s="4" t="s">
        <v>8</v>
      </c>
    </row>
    <row r="4" spans="1:13" x14ac:dyDescent="0.3">
      <c r="A4" s="1" t="s">
        <v>0</v>
      </c>
      <c r="B4">
        <v>30</v>
      </c>
    </row>
    <row r="5" spans="1:13" x14ac:dyDescent="0.3">
      <c r="A5" s="1" t="s">
        <v>1</v>
      </c>
      <c r="B5">
        <v>15</v>
      </c>
    </row>
    <row r="6" spans="1:13" x14ac:dyDescent="0.3">
      <c r="A6" s="1" t="s">
        <v>2</v>
      </c>
      <c r="B6">
        <v>0.15</v>
      </c>
    </row>
    <row r="7" spans="1:13" x14ac:dyDescent="0.3">
      <c r="A7" s="1" t="s">
        <v>3</v>
      </c>
      <c r="B7">
        <v>0</v>
      </c>
      <c r="E7" s="3"/>
    </row>
    <row r="8" spans="1:13" x14ac:dyDescent="0.3">
      <c r="A8" s="1" t="s">
        <v>4</v>
      </c>
      <c r="B8">
        <v>5000</v>
      </c>
    </row>
    <row r="9" spans="1:13" x14ac:dyDescent="0.3">
      <c r="A9" s="1" t="s">
        <v>5</v>
      </c>
      <c r="B9">
        <v>15000</v>
      </c>
    </row>
    <row r="10" spans="1:13" x14ac:dyDescent="0.3">
      <c r="A10" s="1" t="s">
        <v>6</v>
      </c>
      <c r="B10">
        <v>1500</v>
      </c>
    </row>
    <row r="11" spans="1:13" x14ac:dyDescent="0.3">
      <c r="A11" s="1" t="s">
        <v>7</v>
      </c>
      <c r="B11">
        <v>0.2</v>
      </c>
    </row>
    <row r="14" spans="1:13" x14ac:dyDescent="0.3">
      <c r="A14" s="2" t="s">
        <v>9</v>
      </c>
      <c r="B14">
        <f>B4 - B5</f>
        <v>15</v>
      </c>
    </row>
    <row r="15" spans="1:13" x14ac:dyDescent="0.3">
      <c r="A15" s="2" t="s">
        <v>10</v>
      </c>
      <c r="B15">
        <f>B4 * B6</f>
        <v>4.5</v>
      </c>
    </row>
    <row r="16" spans="1:13" x14ac:dyDescent="0.3">
      <c r="A16" s="2" t="s">
        <v>15</v>
      </c>
      <c r="B16">
        <f>B14 - B15 - B7</f>
        <v>10.5</v>
      </c>
    </row>
    <row r="17" spans="1:3" x14ac:dyDescent="0.3">
      <c r="A17" s="2" t="s">
        <v>11</v>
      </c>
      <c r="B17">
        <f>(B16 * B8) - B9 - B10</f>
        <v>36000</v>
      </c>
    </row>
    <row r="18" spans="1:3" x14ac:dyDescent="0.3">
      <c r="A18" s="2" t="s">
        <v>12</v>
      </c>
      <c r="B18">
        <f>B17 * (1 - B11)</f>
        <v>28800</v>
      </c>
    </row>
    <row r="22" spans="1:3" x14ac:dyDescent="0.3">
      <c r="A22" s="4" t="s">
        <v>14</v>
      </c>
      <c r="B22" s="4" t="s">
        <v>16</v>
      </c>
      <c r="C22" s="4" t="s">
        <v>17</v>
      </c>
    </row>
    <row r="23" spans="1:3" x14ac:dyDescent="0.3">
      <c r="A23">
        <v>0</v>
      </c>
      <c r="B23">
        <f>(( $B$4 - $B$5 - ($B$4 * $B$6) - A23 ) * $B$8) - $B$9 - $B$10</f>
        <v>36000</v>
      </c>
      <c r="C23">
        <f>B23 * (1 - $B$11)</f>
        <v>28800</v>
      </c>
    </row>
    <row r="24" spans="1:3" x14ac:dyDescent="0.3">
      <c r="A24">
        <v>1</v>
      </c>
      <c r="B24">
        <f t="shared" ref="B24:B33" si="0">(( $B$4 - $B$5 - ($B$4 * $B$6) - A24 ) * $B$8) - $B$9 - $B$10</f>
        <v>31000</v>
      </c>
      <c r="C24">
        <f t="shared" ref="C24:C33" si="1">B24 * (1 - $B$11)</f>
        <v>24800</v>
      </c>
    </row>
    <row r="25" spans="1:3" x14ac:dyDescent="0.3">
      <c r="A25">
        <v>2</v>
      </c>
      <c r="B25">
        <f t="shared" si="0"/>
        <v>26000</v>
      </c>
      <c r="C25">
        <f t="shared" si="1"/>
        <v>20800</v>
      </c>
    </row>
    <row r="26" spans="1:3" x14ac:dyDescent="0.3">
      <c r="A26">
        <v>3</v>
      </c>
      <c r="B26">
        <f t="shared" si="0"/>
        <v>21000</v>
      </c>
      <c r="C26">
        <f t="shared" si="1"/>
        <v>16800</v>
      </c>
    </row>
    <row r="27" spans="1:3" x14ac:dyDescent="0.3">
      <c r="A27">
        <v>4</v>
      </c>
      <c r="B27">
        <f t="shared" si="0"/>
        <v>16000</v>
      </c>
      <c r="C27">
        <f t="shared" si="1"/>
        <v>12800</v>
      </c>
    </row>
    <row r="28" spans="1:3" x14ac:dyDescent="0.3">
      <c r="A28">
        <v>5</v>
      </c>
      <c r="B28">
        <f t="shared" si="0"/>
        <v>11000</v>
      </c>
      <c r="C28">
        <f t="shared" si="1"/>
        <v>8800</v>
      </c>
    </row>
    <row r="29" spans="1:3" x14ac:dyDescent="0.3">
      <c r="A29">
        <v>6</v>
      </c>
      <c r="B29">
        <f t="shared" si="0"/>
        <v>6000</v>
      </c>
      <c r="C29">
        <f t="shared" si="1"/>
        <v>4800</v>
      </c>
    </row>
    <row r="30" spans="1:3" x14ac:dyDescent="0.3">
      <c r="A30">
        <v>7</v>
      </c>
      <c r="B30">
        <f t="shared" si="0"/>
        <v>1000</v>
      </c>
      <c r="C30">
        <f t="shared" si="1"/>
        <v>800</v>
      </c>
    </row>
    <row r="31" spans="1:3" x14ac:dyDescent="0.3">
      <c r="A31">
        <v>8</v>
      </c>
      <c r="B31">
        <f t="shared" si="0"/>
        <v>-4000</v>
      </c>
      <c r="C31">
        <f t="shared" si="1"/>
        <v>-3200</v>
      </c>
    </row>
    <row r="32" spans="1:3" x14ac:dyDescent="0.3">
      <c r="A32">
        <v>9</v>
      </c>
      <c r="B32">
        <f t="shared" si="0"/>
        <v>-9000</v>
      </c>
      <c r="C32">
        <f t="shared" si="1"/>
        <v>-7200</v>
      </c>
    </row>
    <row r="33" spans="1:3" x14ac:dyDescent="0.3">
      <c r="A33">
        <v>10</v>
      </c>
      <c r="B33">
        <f t="shared" si="0"/>
        <v>-14000</v>
      </c>
      <c r="C33">
        <f t="shared" si="1"/>
        <v>-11200</v>
      </c>
    </row>
  </sheetData>
  <mergeCells count="2">
    <mergeCell ref="D1:K1"/>
    <mergeCell ref="C2:M2"/>
  </mergeCells>
  <conditionalFormatting sqref="A17:B18">
    <cfRule type="cellIs" dxfId="9" priority="1" operator="lessThan">
      <formula>0</formula>
    </cfRule>
    <cfRule type="cellIs" dxfId="8" priority="2" operator="greaterThan">
      <formula>0</formula>
    </cfRule>
  </conditionalFormatting>
  <conditionalFormatting sqref="B17">
    <cfRule type="cellIs" dxfId="7" priority="5" operator="greaterThan">
      <formula>"if&gt;=0"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30D9E-FB53-4466-B09F-E77218E504B7}">
  <dimension ref="A1:L33"/>
  <sheetViews>
    <sheetView workbookViewId="0">
      <selection activeCell="H23" sqref="H23"/>
    </sheetView>
  </sheetViews>
  <sheetFormatPr defaultRowHeight="14.4" x14ac:dyDescent="0.3"/>
  <cols>
    <col min="1" max="1" width="23.77734375" customWidth="1"/>
    <col min="2" max="2" width="23.109375" customWidth="1"/>
    <col min="3" max="3" width="16.21875" customWidth="1"/>
    <col min="4" max="4" width="19" customWidth="1"/>
    <col min="5" max="5" width="13" customWidth="1"/>
    <col min="6" max="6" width="14.109375" customWidth="1"/>
    <col min="7" max="7" width="13.77734375" customWidth="1"/>
    <col min="11" max="11" width="15.109375" customWidth="1"/>
  </cols>
  <sheetData>
    <row r="1" spans="1:12" ht="29.4" thickBot="1" x14ac:dyDescent="0.6">
      <c r="D1" s="5" t="s">
        <v>24</v>
      </c>
      <c r="E1" s="6"/>
      <c r="F1" s="6"/>
      <c r="G1" s="6"/>
      <c r="H1" s="6"/>
      <c r="I1" s="6"/>
      <c r="J1" s="6"/>
      <c r="K1" s="6"/>
    </row>
    <row r="2" spans="1:12" ht="18.600000000000001" thickTop="1" x14ac:dyDescent="0.35">
      <c r="C2" s="8" t="s">
        <v>25</v>
      </c>
      <c r="D2" s="9"/>
      <c r="E2" s="9"/>
      <c r="F2" s="9"/>
      <c r="G2" s="9"/>
      <c r="H2" s="9"/>
      <c r="I2" s="9"/>
      <c r="J2" s="9"/>
      <c r="K2" s="9"/>
      <c r="L2" s="9"/>
    </row>
    <row r="3" spans="1:12" x14ac:dyDescent="0.3">
      <c r="A3" s="4" t="s">
        <v>13</v>
      </c>
      <c r="B3" s="4" t="s">
        <v>8</v>
      </c>
    </row>
    <row r="4" spans="1:12" x14ac:dyDescent="0.3">
      <c r="A4" s="1" t="s">
        <v>0</v>
      </c>
      <c r="B4">
        <v>35</v>
      </c>
    </row>
    <row r="5" spans="1:12" x14ac:dyDescent="0.3">
      <c r="A5" s="1" t="s">
        <v>1</v>
      </c>
      <c r="B5">
        <v>15</v>
      </c>
    </row>
    <row r="6" spans="1:12" x14ac:dyDescent="0.3">
      <c r="A6" s="1" t="s">
        <v>2</v>
      </c>
      <c r="B6">
        <v>0.15</v>
      </c>
    </row>
    <row r="7" spans="1:12" x14ac:dyDescent="0.3">
      <c r="A7" s="1" t="s">
        <v>3</v>
      </c>
      <c r="B7">
        <v>0</v>
      </c>
    </row>
    <row r="8" spans="1:12" x14ac:dyDescent="0.3">
      <c r="A8" s="1" t="s">
        <v>4</v>
      </c>
      <c r="B8">
        <v>5000</v>
      </c>
    </row>
    <row r="9" spans="1:12" x14ac:dyDescent="0.3">
      <c r="A9" s="1" t="s">
        <v>5</v>
      </c>
      <c r="B9">
        <v>10000</v>
      </c>
    </row>
    <row r="10" spans="1:12" x14ac:dyDescent="0.3">
      <c r="A10" s="1" t="s">
        <v>6</v>
      </c>
      <c r="B10">
        <v>1500</v>
      </c>
    </row>
    <row r="11" spans="1:12" x14ac:dyDescent="0.3">
      <c r="A11" s="1" t="s">
        <v>7</v>
      </c>
      <c r="B11">
        <v>0.2</v>
      </c>
    </row>
    <row r="14" spans="1:12" x14ac:dyDescent="0.3">
      <c r="A14" s="2" t="s">
        <v>9</v>
      </c>
      <c r="B14">
        <f>B4 - B5</f>
        <v>20</v>
      </c>
    </row>
    <row r="15" spans="1:12" x14ac:dyDescent="0.3">
      <c r="A15" s="2" t="s">
        <v>10</v>
      </c>
      <c r="B15">
        <f>B4 * B6</f>
        <v>5.25</v>
      </c>
    </row>
    <row r="16" spans="1:12" x14ac:dyDescent="0.3">
      <c r="A16" s="2" t="s">
        <v>15</v>
      </c>
      <c r="B16">
        <f>B14 - B15 - B7</f>
        <v>14.75</v>
      </c>
    </row>
    <row r="17" spans="1:3" x14ac:dyDescent="0.3">
      <c r="A17" s="2" t="s">
        <v>11</v>
      </c>
      <c r="B17">
        <f>(B16 * B8) - B9 - B10</f>
        <v>62250</v>
      </c>
    </row>
    <row r="18" spans="1:3" x14ac:dyDescent="0.3">
      <c r="A18" s="2" t="s">
        <v>12</v>
      </c>
      <c r="B18">
        <f>B17 * (1 - B11)</f>
        <v>49800</v>
      </c>
    </row>
    <row r="22" spans="1:3" x14ac:dyDescent="0.3">
      <c r="A22" s="4" t="s">
        <v>14</v>
      </c>
      <c r="B22" s="4" t="s">
        <v>16</v>
      </c>
      <c r="C22" s="4" t="s">
        <v>17</v>
      </c>
    </row>
    <row r="23" spans="1:3" x14ac:dyDescent="0.3">
      <c r="A23">
        <v>0</v>
      </c>
      <c r="B23">
        <f>(( $B$4 - $B$5 - ($B$4 * $B$6) - A23 ) * $B$8) - $B$9 - $B$10</f>
        <v>62250</v>
      </c>
      <c r="C23">
        <f>B23 * (1 - $B$11)</f>
        <v>49800</v>
      </c>
    </row>
    <row r="24" spans="1:3" x14ac:dyDescent="0.3">
      <c r="A24">
        <v>1</v>
      </c>
      <c r="B24">
        <f t="shared" ref="B24:B33" si="0">(( $B$4 - $B$5 - ($B$4 * $B$6) - A24 ) * $B$8) - $B$9 - $B$10</f>
        <v>57250</v>
      </c>
      <c r="C24">
        <f t="shared" ref="C24:C33" si="1">B24 * (1 - $B$11)</f>
        <v>45800</v>
      </c>
    </row>
    <row r="25" spans="1:3" x14ac:dyDescent="0.3">
      <c r="A25">
        <v>2</v>
      </c>
      <c r="B25">
        <f t="shared" si="0"/>
        <v>52250</v>
      </c>
      <c r="C25">
        <f t="shared" si="1"/>
        <v>41800</v>
      </c>
    </row>
    <row r="26" spans="1:3" x14ac:dyDescent="0.3">
      <c r="A26">
        <v>3</v>
      </c>
      <c r="B26">
        <f t="shared" si="0"/>
        <v>47250</v>
      </c>
      <c r="C26">
        <f t="shared" si="1"/>
        <v>37800</v>
      </c>
    </row>
    <row r="27" spans="1:3" x14ac:dyDescent="0.3">
      <c r="A27">
        <v>4</v>
      </c>
      <c r="B27">
        <f t="shared" si="0"/>
        <v>42250</v>
      </c>
      <c r="C27">
        <f t="shared" si="1"/>
        <v>33800</v>
      </c>
    </row>
    <row r="28" spans="1:3" x14ac:dyDescent="0.3">
      <c r="A28">
        <v>5</v>
      </c>
      <c r="B28">
        <f t="shared" si="0"/>
        <v>37250</v>
      </c>
      <c r="C28">
        <f t="shared" si="1"/>
        <v>29800</v>
      </c>
    </row>
    <row r="29" spans="1:3" x14ac:dyDescent="0.3">
      <c r="A29">
        <v>6</v>
      </c>
      <c r="B29">
        <f t="shared" si="0"/>
        <v>32250</v>
      </c>
      <c r="C29">
        <f t="shared" si="1"/>
        <v>25800</v>
      </c>
    </row>
    <row r="30" spans="1:3" x14ac:dyDescent="0.3">
      <c r="A30">
        <v>7</v>
      </c>
      <c r="B30">
        <f t="shared" si="0"/>
        <v>27250</v>
      </c>
      <c r="C30">
        <f t="shared" si="1"/>
        <v>21800</v>
      </c>
    </row>
    <row r="31" spans="1:3" x14ac:dyDescent="0.3">
      <c r="A31">
        <v>8</v>
      </c>
      <c r="B31">
        <f t="shared" si="0"/>
        <v>22250</v>
      </c>
      <c r="C31">
        <f t="shared" si="1"/>
        <v>17800</v>
      </c>
    </row>
    <row r="32" spans="1:3" x14ac:dyDescent="0.3">
      <c r="A32">
        <v>9</v>
      </c>
      <c r="B32">
        <f t="shared" si="0"/>
        <v>17250</v>
      </c>
      <c r="C32">
        <f t="shared" si="1"/>
        <v>13800</v>
      </c>
    </row>
    <row r="33" spans="1:3" x14ac:dyDescent="0.3">
      <c r="A33">
        <v>10</v>
      </c>
      <c r="B33">
        <f t="shared" si="0"/>
        <v>12250</v>
      </c>
      <c r="C33">
        <f t="shared" si="1"/>
        <v>9800</v>
      </c>
    </row>
  </sheetData>
  <mergeCells count="2">
    <mergeCell ref="D1:K1"/>
    <mergeCell ref="C2:L2"/>
  </mergeCells>
  <conditionalFormatting sqref="A17:B18">
    <cfRule type="cellIs" dxfId="6" priority="1" operator="lessThan">
      <formula>0</formula>
    </cfRule>
    <cfRule type="cellIs" dxfId="5" priority="2" operator="greaterThan">
      <formula>0</formula>
    </cfRule>
  </conditionalFormatting>
  <conditionalFormatting sqref="B17">
    <cfRule type="cellIs" dxfId="4" priority="5" operator="greaterThan">
      <formula>"if&gt;=0"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08777-DFBA-4D24-9984-D528AAB9AD2A}">
  <dimension ref="A1:O33"/>
  <sheetViews>
    <sheetView tabSelected="1" workbookViewId="0">
      <selection activeCell="Q12" sqref="Q12"/>
    </sheetView>
  </sheetViews>
  <sheetFormatPr defaultRowHeight="14.4" x14ac:dyDescent="0.3"/>
  <cols>
    <col min="1" max="1" width="23.77734375" customWidth="1"/>
    <col min="2" max="2" width="23.109375" customWidth="1"/>
    <col min="3" max="3" width="16.21875" customWidth="1"/>
    <col min="4" max="4" width="12.88671875" customWidth="1"/>
    <col min="5" max="5" width="13" customWidth="1"/>
    <col min="6" max="6" width="14.109375" customWidth="1"/>
    <col min="7" max="7" width="13.77734375" customWidth="1"/>
  </cols>
  <sheetData>
    <row r="1" spans="1:15" ht="29.4" thickBot="1" x14ac:dyDescent="0.6">
      <c r="C1" s="11" t="s">
        <v>27</v>
      </c>
      <c r="D1" s="12"/>
      <c r="E1" s="12"/>
      <c r="F1" s="12"/>
      <c r="G1" s="12"/>
      <c r="H1" s="12"/>
      <c r="I1" s="12"/>
      <c r="J1" s="12"/>
      <c r="K1" s="12"/>
      <c r="L1" s="12"/>
    </row>
    <row r="2" spans="1:15" ht="18.600000000000001" thickTop="1" x14ac:dyDescent="0.35">
      <c r="B2" s="7" t="s">
        <v>18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</row>
    <row r="3" spans="1:15" x14ac:dyDescent="0.3">
      <c r="A3" s="4" t="s">
        <v>13</v>
      </c>
      <c r="B3" s="4" t="s">
        <v>8</v>
      </c>
    </row>
    <row r="4" spans="1:15" x14ac:dyDescent="0.3">
      <c r="A4" s="1" t="s">
        <v>0</v>
      </c>
      <c r="B4">
        <v>30</v>
      </c>
    </row>
    <row r="5" spans="1:15" x14ac:dyDescent="0.3">
      <c r="A5" s="1" t="s">
        <v>1</v>
      </c>
      <c r="B5">
        <v>15</v>
      </c>
    </row>
    <row r="6" spans="1:15" x14ac:dyDescent="0.3">
      <c r="A6" s="1" t="s">
        <v>2</v>
      </c>
      <c r="B6">
        <v>0.15</v>
      </c>
    </row>
    <row r="7" spans="1:15" x14ac:dyDescent="0.3">
      <c r="A7" s="1" t="s">
        <v>3</v>
      </c>
      <c r="B7">
        <v>0</v>
      </c>
    </row>
    <row r="8" spans="1:15" x14ac:dyDescent="0.3">
      <c r="A8" s="1" t="s">
        <v>4</v>
      </c>
      <c r="B8">
        <v>5000</v>
      </c>
    </row>
    <row r="9" spans="1:15" x14ac:dyDescent="0.3">
      <c r="A9" s="1" t="s">
        <v>5</v>
      </c>
      <c r="B9">
        <v>10000</v>
      </c>
    </row>
    <row r="10" spans="1:15" x14ac:dyDescent="0.3">
      <c r="A10" s="1" t="s">
        <v>6</v>
      </c>
      <c r="B10">
        <v>1500</v>
      </c>
    </row>
    <row r="11" spans="1:15" x14ac:dyDescent="0.3">
      <c r="A11" s="1" t="s">
        <v>7</v>
      </c>
      <c r="B11">
        <v>0.25</v>
      </c>
    </row>
    <row r="14" spans="1:15" x14ac:dyDescent="0.3">
      <c r="A14" s="2" t="s">
        <v>9</v>
      </c>
      <c r="B14">
        <f>B4 - B5</f>
        <v>15</v>
      </c>
    </row>
    <row r="15" spans="1:15" x14ac:dyDescent="0.3">
      <c r="A15" s="2" t="s">
        <v>10</v>
      </c>
      <c r="B15">
        <f>B4 * B6</f>
        <v>4.5</v>
      </c>
    </row>
    <row r="16" spans="1:15" x14ac:dyDescent="0.3">
      <c r="A16" s="2" t="s">
        <v>15</v>
      </c>
      <c r="B16">
        <f>B14 - B15 - B7</f>
        <v>10.5</v>
      </c>
    </row>
    <row r="17" spans="1:3" x14ac:dyDescent="0.3">
      <c r="A17" s="2" t="s">
        <v>11</v>
      </c>
      <c r="B17">
        <f>(B16 * B8) - B9 - B10</f>
        <v>41000</v>
      </c>
    </row>
    <row r="18" spans="1:3" x14ac:dyDescent="0.3">
      <c r="A18" s="2" t="s">
        <v>12</v>
      </c>
      <c r="B18">
        <f>B17 * (1 - B11)</f>
        <v>30750</v>
      </c>
    </row>
    <row r="22" spans="1:3" x14ac:dyDescent="0.3">
      <c r="A22" s="4" t="s">
        <v>14</v>
      </c>
      <c r="B22" s="4" t="s">
        <v>16</v>
      </c>
      <c r="C22" s="4" t="s">
        <v>17</v>
      </c>
    </row>
    <row r="23" spans="1:3" x14ac:dyDescent="0.3">
      <c r="A23">
        <v>0</v>
      </c>
      <c r="B23">
        <f>(( $B$4 - $B$5 - ($B$4 * $B$6) - A23 ) * $B$8) - $B$9 - $B$10</f>
        <v>41000</v>
      </c>
      <c r="C23">
        <f>B23 * (1 - $B$11)</f>
        <v>30750</v>
      </c>
    </row>
    <row r="24" spans="1:3" x14ac:dyDescent="0.3">
      <c r="A24">
        <v>1</v>
      </c>
      <c r="B24">
        <f t="shared" ref="B24:B33" si="0">(( $B$4 - $B$5 - ($B$4 * $B$6) - A24 ) * $B$8) - $B$9 - $B$10</f>
        <v>36000</v>
      </c>
      <c r="C24">
        <f t="shared" ref="C24:C33" si="1">B24 * (1 - $B$11)</f>
        <v>27000</v>
      </c>
    </row>
    <row r="25" spans="1:3" x14ac:dyDescent="0.3">
      <c r="A25">
        <v>2</v>
      </c>
      <c r="B25">
        <f t="shared" si="0"/>
        <v>31000</v>
      </c>
      <c r="C25">
        <f t="shared" si="1"/>
        <v>23250</v>
      </c>
    </row>
    <row r="26" spans="1:3" x14ac:dyDescent="0.3">
      <c r="A26">
        <v>3</v>
      </c>
      <c r="B26">
        <f t="shared" si="0"/>
        <v>26000</v>
      </c>
      <c r="C26">
        <f t="shared" si="1"/>
        <v>19500</v>
      </c>
    </row>
    <row r="27" spans="1:3" x14ac:dyDescent="0.3">
      <c r="A27">
        <v>4</v>
      </c>
      <c r="B27">
        <f t="shared" si="0"/>
        <v>21000</v>
      </c>
      <c r="C27">
        <f t="shared" si="1"/>
        <v>15750</v>
      </c>
    </row>
    <row r="28" spans="1:3" x14ac:dyDescent="0.3">
      <c r="A28">
        <v>5</v>
      </c>
      <c r="B28">
        <f t="shared" si="0"/>
        <v>16000</v>
      </c>
      <c r="C28">
        <f t="shared" si="1"/>
        <v>12000</v>
      </c>
    </row>
    <row r="29" spans="1:3" x14ac:dyDescent="0.3">
      <c r="A29">
        <v>6</v>
      </c>
      <c r="B29">
        <f t="shared" si="0"/>
        <v>11000</v>
      </c>
      <c r="C29">
        <f t="shared" si="1"/>
        <v>8250</v>
      </c>
    </row>
    <row r="30" spans="1:3" x14ac:dyDescent="0.3">
      <c r="A30">
        <v>7</v>
      </c>
      <c r="B30">
        <f t="shared" si="0"/>
        <v>6000</v>
      </c>
      <c r="C30">
        <f t="shared" si="1"/>
        <v>4500</v>
      </c>
    </row>
    <row r="31" spans="1:3" x14ac:dyDescent="0.3">
      <c r="A31">
        <v>8</v>
      </c>
      <c r="B31">
        <f t="shared" si="0"/>
        <v>1000</v>
      </c>
      <c r="C31">
        <f t="shared" si="1"/>
        <v>750</v>
      </c>
    </row>
    <row r="32" spans="1:3" x14ac:dyDescent="0.3">
      <c r="A32">
        <v>9</v>
      </c>
      <c r="B32">
        <f t="shared" si="0"/>
        <v>-4000</v>
      </c>
      <c r="C32">
        <f t="shared" si="1"/>
        <v>-3000</v>
      </c>
    </row>
    <row r="33" spans="1:3" x14ac:dyDescent="0.3">
      <c r="A33">
        <v>10</v>
      </c>
      <c r="B33">
        <f t="shared" si="0"/>
        <v>-9000</v>
      </c>
      <c r="C33">
        <f t="shared" si="1"/>
        <v>-6750</v>
      </c>
    </row>
  </sheetData>
  <mergeCells count="2">
    <mergeCell ref="C1:L1"/>
    <mergeCell ref="B2:O2"/>
  </mergeCells>
  <conditionalFormatting sqref="A17:B17">
    <cfRule type="cellIs" dxfId="3" priority="3" operator="lessThan">
      <formula>0</formula>
    </cfRule>
  </conditionalFormatting>
  <conditionalFormatting sqref="A17:B18">
    <cfRule type="cellIs" dxfId="2" priority="2" operator="greaterThan">
      <formula>0</formula>
    </cfRule>
  </conditionalFormatting>
  <conditionalFormatting sqref="A18:B18">
    <cfRule type="cellIs" dxfId="1" priority="1" operator="lessThan">
      <formula>30750</formula>
    </cfRule>
  </conditionalFormatting>
  <conditionalFormatting sqref="B17">
    <cfRule type="cellIs" dxfId="0" priority="5" operator="greaterThan">
      <formula>"if&gt;=0"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Step-1</vt:lpstr>
      <vt:lpstr>Step 2</vt:lpstr>
      <vt:lpstr>Step-3</vt:lpstr>
      <vt:lpstr>Step-4 </vt:lpstr>
      <vt:lpstr>Step-5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Anand Kumar Dalwaie</dc:creator>
  <cp:keywords/>
  <dc:description/>
  <cp:lastModifiedBy>Anand Kumar Dalwaie</cp:lastModifiedBy>
  <cp:revision/>
  <dcterms:created xsi:type="dcterms:W3CDTF">2022-09-12T07:53:59Z</dcterms:created>
  <dcterms:modified xsi:type="dcterms:W3CDTF">2025-08-30T08:34:18Z</dcterms:modified>
  <cp:category/>
  <cp:contentStatus/>
</cp:coreProperties>
</file>